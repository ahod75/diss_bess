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e\Desktop\UCL\Dissertation\Figures\Results\"/>
    </mc:Choice>
  </mc:AlternateContent>
  <xr:revisionPtr revIDLastSave="0" documentId="13_ncr:1_{5E8F5D24-9EA7-481C-AFC7-49255C90377F}" xr6:coauthVersionLast="47" xr6:coauthVersionMax="47" xr10:uidLastSave="{00000000-0000-0000-0000-000000000000}"/>
  <bookViews>
    <workbookView xWindow="-110" yWindow="-110" windowWidth="19420" windowHeight="10300" xr2:uid="{7B29C37D-6941-405E-9451-78B95470D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D1" i="1"/>
  <c r="D2" i="1"/>
  <c r="F16" i="1"/>
  <c r="F15" i="1"/>
  <c r="F14" i="1"/>
  <c r="F5" i="1"/>
  <c r="F13" i="1"/>
  <c r="E5" i="1"/>
  <c r="F8" i="1"/>
  <c r="F7" i="1"/>
  <c r="F6" i="1"/>
</calcChain>
</file>

<file path=xl/sharedStrings.xml><?xml version="1.0" encoding="utf-8"?>
<sst xmlns="http://schemas.openxmlformats.org/spreadsheetml/2006/main" count="56" uniqueCount="41">
  <si>
    <t>Single-Price Market</t>
  </si>
  <si>
    <t>Forecaster</t>
  </si>
  <si>
    <t>Win Rate vs Baseline</t>
  </si>
  <si>
    <t>Baseline</t>
  </si>
  <si>
    <t>-</t>
  </si>
  <si>
    <t>Control</t>
  </si>
  <si>
    <t>DFL single-price</t>
  </si>
  <si>
    <t>DFL dual-price</t>
  </si>
  <si>
    <t>Dual-Price Market</t>
  </si>
  <si>
    <t>CRPS (MW)</t>
  </si>
  <si>
    <t>55.0% ± 2.87%</t>
  </si>
  <si>
    <t xml:space="preserve">55.4% ± 0.94%	</t>
  </si>
  <si>
    <t>54.3% ± 2.52%</t>
  </si>
  <si>
    <t>53.6% ± 6.97%</t>
  </si>
  <si>
    <t>56.5% ± 4.90%</t>
  </si>
  <si>
    <t>49.3% ± 6.59%</t>
  </si>
  <si>
    <t>1744.35 ± 1.66</t>
  </si>
  <si>
    <t>1745.23 ± 0.84</t>
  </si>
  <si>
    <t>Daily Total Cost (£)</t>
  </si>
  <si>
    <t>Daily DA Cost (£)</t>
  </si>
  <si>
    <t>Daily Imbalance Cost (£)</t>
  </si>
  <si>
    <t>1796.43 ± 26.15</t>
  </si>
  <si>
    <t>1782.78 ± 39.75</t>
  </si>
  <si>
    <t>1810.72 ± 21.97</t>
  </si>
  <si>
    <t>8.65 ± 0.15</t>
  </si>
  <si>
    <t>8.57 ± 0.21</t>
  </si>
  <si>
    <t>8.72 ± 0.13</t>
  </si>
  <si>
    <t>0.267 ± 0.006</t>
  </si>
  <si>
    <t>0.264 ± 0.007</t>
  </si>
  <si>
    <t>0.269 ± 0.006</t>
  </si>
  <si>
    <t>1795.82 ± 1.19</t>
  </si>
  <si>
    <t>1795.27 ± 1.78</t>
  </si>
  <si>
    <t>1796.73 ± 0.83</t>
  </si>
  <si>
    <t>1799.39 ± 26.18</t>
  </si>
  <si>
    <t>1785.77 ± 39.78</t>
  </si>
  <si>
    <t>1813.85 ± 21.97</t>
  </si>
  <si>
    <t>8.38 ± 0.16</t>
  </si>
  <si>
    <t>8.29 ± 0.22</t>
  </si>
  <si>
    <t>8.45 ± 0.14</t>
  </si>
  <si>
    <t>Daily total Imbalance (MWh)</t>
  </si>
  <si>
    <t>1744.74 ± 1.40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</si>
</sst>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7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5AA2-1F79-4FAC-BE75-497DCD41A37A}">
  <dimension ref="B1:H16"/>
  <sheetViews>
    <sheetView tabSelected="1" topLeftCell="A4" zoomScale="84" workbookViewId="0">
      <selection activeCell="B12" sqref="B12:H16"/>
    </sheetView>
  </sheetViews>
  <sheetFormatPr defaultRowHeight="14.5" x14ac:dyDescent="0.35"/>
  <cols>
    <col min="2" max="2" width="24.26953125" bestFit="1" customWidth="1"/>
    <col min="3" max="8" width="21.54296875" customWidth="1"/>
  </cols>
  <sheetData>
    <row r="1" spans="2:8" x14ac:dyDescent="0.35">
      <c r="D1" s="4">
        <f>1-(1744.35/1746.55)</f>
        <v>1.2596261200652492E-3</v>
      </c>
    </row>
    <row r="2" spans="2:8" ht="17.5" x14ac:dyDescent="0.35">
      <c r="B2" s="1" t="s">
        <v>0</v>
      </c>
      <c r="D2">
        <f>1744.35 - 1746.54</f>
        <v>-2.1900000000000546</v>
      </c>
    </row>
    <row r="3" spans="2:8" ht="15" thickBot="1" x14ac:dyDescent="0.4"/>
    <row r="4" spans="2:8" ht="28.5" thickBot="1" x14ac:dyDescent="0.4">
      <c r="B4" s="2" t="s">
        <v>1</v>
      </c>
      <c r="C4" s="2" t="s">
        <v>2</v>
      </c>
      <c r="D4" s="2" t="s">
        <v>18</v>
      </c>
      <c r="E4" s="2" t="s">
        <v>19</v>
      </c>
      <c r="F4" s="2" t="s">
        <v>20</v>
      </c>
      <c r="G4" s="2" t="s">
        <v>39</v>
      </c>
      <c r="H4" s="2" t="s">
        <v>9</v>
      </c>
    </row>
    <row r="5" spans="2:8" ht="15" thickBot="1" x14ac:dyDescent="0.4">
      <c r="B5" s="2" t="s">
        <v>3</v>
      </c>
      <c r="C5" s="3" t="s">
        <v>4</v>
      </c>
      <c r="D5" s="3">
        <v>1746.55</v>
      </c>
      <c r="E5" s="3" t="str">
        <f>"1832.00"</f>
        <v>1832.00</v>
      </c>
      <c r="F5" s="3" t="str">
        <f>"-85.46"</f>
        <v>-85.46</v>
      </c>
      <c r="G5" s="3">
        <v>8.75</v>
      </c>
      <c r="H5" s="3">
        <v>0.26800000000000002</v>
      </c>
    </row>
    <row r="6" spans="2:8" ht="15" thickBot="1" x14ac:dyDescent="0.4">
      <c r="B6" s="2" t="s">
        <v>5</v>
      </c>
      <c r="C6" s="3" t="s">
        <v>10</v>
      </c>
      <c r="D6" s="3" t="s">
        <v>40</v>
      </c>
      <c r="E6" s="3" t="s">
        <v>21</v>
      </c>
      <c r="F6" s="3" t="str">
        <f>"-51.69 ± 25.07"</f>
        <v>-51.69 ± 25.07</v>
      </c>
      <c r="G6" s="3" t="s">
        <v>24</v>
      </c>
      <c r="H6" s="3" t="s">
        <v>27</v>
      </c>
    </row>
    <row r="7" spans="2:8" ht="15" thickBot="1" x14ac:dyDescent="0.4">
      <c r="B7" s="2" t="s">
        <v>6</v>
      </c>
      <c r="C7" s="3" t="s">
        <v>11</v>
      </c>
      <c r="D7" s="3" t="s">
        <v>16</v>
      </c>
      <c r="E7" s="3" t="s">
        <v>22</v>
      </c>
      <c r="F7" s="3" t="str">
        <f>"-38.43 ± 38.31"</f>
        <v>-38.43 ± 38.31</v>
      </c>
      <c r="G7" s="3" t="s">
        <v>25</v>
      </c>
      <c r="H7" s="3" t="s">
        <v>28</v>
      </c>
    </row>
    <row r="8" spans="2:8" ht="15" thickBot="1" x14ac:dyDescent="0.4">
      <c r="B8" s="2" t="s">
        <v>7</v>
      </c>
      <c r="C8" s="3" t="s">
        <v>12</v>
      </c>
      <c r="D8" s="3" t="s">
        <v>17</v>
      </c>
      <c r="E8" s="3" t="s">
        <v>23</v>
      </c>
      <c r="F8" s="3" t="str">
        <f>"-65.49 ± 21.53"</f>
        <v>-65.49 ± 21.53</v>
      </c>
      <c r="G8" s="3" t="s">
        <v>26</v>
      </c>
      <c r="H8" s="3" t="s">
        <v>29</v>
      </c>
    </row>
    <row r="9" spans="2:8" x14ac:dyDescent="0.35">
      <c r="D9">
        <f>1744.35-1746.55</f>
        <v>-2.2000000000000455</v>
      </c>
    </row>
    <row r="10" spans="2:8" ht="17.5" x14ac:dyDescent="0.35">
      <c r="B10" s="1" t="s">
        <v>8</v>
      </c>
    </row>
    <row r="11" spans="2:8" ht="15" thickBot="1" x14ac:dyDescent="0.4"/>
    <row r="12" spans="2:8" ht="28.5" thickBot="1" x14ac:dyDescent="0.4">
      <c r="B12" s="2" t="s">
        <v>1</v>
      </c>
      <c r="C12" s="2" t="s">
        <v>2</v>
      </c>
      <c r="D12" s="2" t="s">
        <v>18</v>
      </c>
      <c r="E12" s="2" t="s">
        <v>19</v>
      </c>
      <c r="F12" s="2" t="s">
        <v>20</v>
      </c>
      <c r="G12" s="2" t="s">
        <v>39</v>
      </c>
      <c r="H12" s="2" t="s">
        <v>9</v>
      </c>
    </row>
    <row r="13" spans="2:8" ht="15" thickBot="1" x14ac:dyDescent="0.4">
      <c r="B13" s="2" t="s">
        <v>3</v>
      </c>
      <c r="C13" s="3" t="s">
        <v>4</v>
      </c>
      <c r="D13" s="3">
        <v>1797.54</v>
      </c>
      <c r="E13" s="3">
        <v>1835.34</v>
      </c>
      <c r="F13" s="3" t="str">
        <f>"-37.80"</f>
        <v>-37.80</v>
      </c>
      <c r="G13" s="3">
        <v>8.48</v>
      </c>
      <c r="H13" s="3">
        <v>0.26800000000000002</v>
      </c>
    </row>
    <row r="14" spans="2:8" ht="15" thickBot="1" x14ac:dyDescent="0.4">
      <c r="B14" s="2" t="s">
        <v>5</v>
      </c>
      <c r="C14" s="3" t="s">
        <v>13</v>
      </c>
      <c r="D14" s="3" t="s">
        <v>30</v>
      </c>
      <c r="E14" s="3" t="s">
        <v>33</v>
      </c>
      <c r="F14" s="3" t="str">
        <f>"-3.56 ± 25.16"</f>
        <v>-3.56 ± 25.16</v>
      </c>
      <c r="G14" s="3" t="s">
        <v>36</v>
      </c>
      <c r="H14" s="3" t="s">
        <v>27</v>
      </c>
    </row>
    <row r="15" spans="2:8" ht="15" thickBot="1" x14ac:dyDescent="0.4">
      <c r="B15" s="2" t="s">
        <v>6</v>
      </c>
      <c r="C15" s="3" t="s">
        <v>14</v>
      </c>
      <c r="D15" s="3" t="s">
        <v>31</v>
      </c>
      <c r="E15" s="3" t="s">
        <v>34</v>
      </c>
      <c r="F15" s="3" t="str">
        <f>"9.50 ± 38.02"</f>
        <v>9.50 ± 38.02</v>
      </c>
      <c r="G15" s="3" t="s">
        <v>37</v>
      </c>
      <c r="H15" s="3" t="s">
        <v>28</v>
      </c>
    </row>
    <row r="16" spans="2:8" ht="15" thickBot="1" x14ac:dyDescent="0.4">
      <c r="B16" s="2" t="s">
        <v>7</v>
      </c>
      <c r="C16" s="3" t="s">
        <v>15</v>
      </c>
      <c r="D16" s="3" t="s">
        <v>32</v>
      </c>
      <c r="E16" s="3" t="s">
        <v>35</v>
      </c>
      <c r="F16" s="3" t="str">
        <f>"-17.11 ± 21.18"</f>
        <v>-17.11 ± 21.18</v>
      </c>
      <c r="G16" s="3" t="s">
        <v>38</v>
      </c>
      <c r="H16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Hodson</dc:creator>
  <cp:lastModifiedBy>Alex Hodson</cp:lastModifiedBy>
  <dcterms:created xsi:type="dcterms:W3CDTF">2026-08-29T15:18:09Z</dcterms:created>
  <dcterms:modified xsi:type="dcterms:W3CDTF">2026-09-01T09:07:59Z</dcterms:modified>
</cp:coreProperties>
</file>